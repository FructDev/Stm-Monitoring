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gehainard-my.sharepoint.com/personal/roaj_egehaina_com/Documents/Documents/GIRASOL/PR Girasol/Calculo de PR/"/>
    </mc:Choice>
  </mc:AlternateContent>
  <xr:revisionPtr revIDLastSave="0" documentId="8_{6190DA23-BAD9-4392-84D5-F1FDFDF48E1A}" xr6:coauthVersionLast="47" xr6:coauthVersionMax="47" xr10:uidLastSave="{00000000-0000-0000-0000-000000000000}"/>
  <bookViews>
    <workbookView xWindow="-108" yWindow="-108" windowWidth="23256" windowHeight="12456" xr2:uid="{E753010F-C5F0-42DA-8662-073969874522}"/>
  </bookViews>
  <sheets>
    <sheet name="Calculos PR - Corregido" sheetId="1" r:id="rId1"/>
    <sheet name="Paso a paso" sheetId="4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4" i="1" l="1"/>
  <c r="H3" i="1"/>
  <c r="E8" i="1" l="1"/>
  <c r="H2" i="1"/>
  <c r="H5" i="1" s="1"/>
  <c r="H6" i="1" s="1"/>
  <c r="I3" i="1" l="1"/>
  <c r="E20" i="1"/>
  <c r="D18" i="1" l="1"/>
  <c r="E18" i="1"/>
  <c r="F18" i="1" l="1"/>
  <c r="F17" i="1" l="1"/>
  <c r="F16" i="1" l="1"/>
  <c r="F15" i="1"/>
  <c r="F14" i="1"/>
  <c r="F13" i="1"/>
  <c r="Q2" i="1" l="1"/>
  <c r="Q3" i="1"/>
  <c r="P9" i="1" s="1"/>
  <c r="P8" i="1"/>
  <c r="N2" i="1"/>
  <c r="R3" i="1"/>
  <c r="P10" i="1" s="1"/>
  <c r="O12" i="1" s="1"/>
  <c r="B32" i="3"/>
  <c r="K2" i="1"/>
  <c r="K5" i="1" s="1"/>
  <c r="E2" i="1" s="1"/>
  <c r="E3" i="1"/>
  <c r="E4" i="1" s="1"/>
  <c r="E5" i="1" l="1"/>
  <c r="E6" i="1" s="1"/>
  <c r="P6" i="1"/>
  <c r="P7" i="1" s="1"/>
  <c r="Q4" i="1"/>
  <c r="N3" i="1" l="1"/>
  <c r="O1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Johanna Pamela Lluberes Ramirez</author>
  </authors>
  <commentList>
    <comment ref="R3" authorId="0" shapeId="0" xr:uid="{5E970765-FB49-4548-9E5E-1DEB92F30322}">
      <text>
        <r>
          <rPr>
            <b/>
            <sz val="9"/>
            <color indexed="81"/>
            <rFont val="Tahoma"/>
            <family val="2"/>
          </rPr>
          <t>Johanna Pamela Lluberes Ramirez:</t>
        </r>
        <r>
          <rPr>
            <sz val="9"/>
            <color indexed="81"/>
            <rFont val="Tahoma"/>
            <family val="2"/>
          </rPr>
          <t xml:space="preserve">
AC</t>
        </r>
      </text>
    </comment>
  </commentList>
</comments>
</file>

<file path=xl/sharedStrings.xml><?xml version="1.0" encoding="utf-8"?>
<sst xmlns="http://schemas.openxmlformats.org/spreadsheetml/2006/main" count="90" uniqueCount="82">
  <si>
    <t>Potencia pico de la planta [kWp]</t>
  </si>
  <si>
    <t>Número de años de operación</t>
  </si>
  <si>
    <t>Temperatura medida del panel [°C]</t>
  </si>
  <si>
    <r>
      <t xml:space="preserve">Coeficiente de temperatura [%/°C] (Ej: si es -0.35%, escribe </t>
    </r>
    <r>
      <rPr>
        <sz val="12"/>
        <color theme="1"/>
        <rFont val="Arial Unicode MS"/>
        <family val="2"/>
      </rPr>
      <t>-0.35</t>
    </r>
    <r>
      <rPr>
        <sz val="12"/>
        <color theme="1"/>
        <rFont val="Aptos Narrow"/>
        <family val="2"/>
        <scheme val="minor"/>
      </rPr>
      <t>)</t>
    </r>
  </si>
  <si>
    <r>
      <t xml:space="preserve">Temperatura STC (Por defecto </t>
    </r>
    <r>
      <rPr>
        <sz val="12"/>
        <color theme="1"/>
        <rFont val="Arial Unicode MS"/>
        <family val="2"/>
      </rPr>
      <t>25</t>
    </r>
    <r>
      <rPr>
        <sz val="12"/>
        <color theme="1"/>
        <rFont val="Aptos Narrow"/>
        <family val="2"/>
        <scheme val="minor"/>
      </rPr>
      <t>)</t>
    </r>
  </si>
  <si>
    <r>
      <t xml:space="preserve">Coeficiente fijo de corrección [%] (Ej: si no hay pérdidas, escribe </t>
    </r>
    <r>
      <rPr>
        <sz val="12"/>
        <color theme="1"/>
        <rFont val="Arial Unicode MS"/>
        <family val="2"/>
      </rPr>
      <t>100</t>
    </r>
    <r>
      <rPr>
        <sz val="12"/>
        <color theme="1"/>
        <rFont val="Aptos Narrow"/>
        <family val="2"/>
        <scheme val="minor"/>
      </rPr>
      <t>)</t>
    </r>
  </si>
  <si>
    <t>Energía medida [kWh]</t>
  </si>
  <si>
    <t>El resultado de la integral ( Ireal/Istc) (Horas de Sol Pico)</t>
  </si>
  <si>
    <t xml:space="preserve">Coeficiente de degradación anual [%] </t>
  </si>
  <si>
    <t>PR% (Degradación Lineal)</t>
  </si>
  <si>
    <t>PR% (Degradación Exponencial)</t>
  </si>
  <si>
    <t>Diferencia Temp.</t>
  </si>
  <si>
    <t>Coeficiente</t>
  </si>
  <si>
    <t>Energia (Coef degrad)</t>
  </si>
  <si>
    <t>Estandar IEC 61724</t>
  </si>
  <si>
    <t>Tasa Degradación Annual</t>
  </si>
  <si>
    <t>Potencia Estimada</t>
  </si>
  <si>
    <t>Perdidas por Tem. Y Degradación</t>
  </si>
  <si>
    <t>Porcentaje de perdidas x Trackers</t>
  </si>
  <si>
    <t>1- Imagen referencia</t>
  </si>
  <si>
    <t>2- Imagen referencia</t>
  </si>
  <si>
    <t>3- Imagen referencia</t>
  </si>
  <si>
    <t>Teorico sin deg.</t>
  </si>
  <si>
    <t>Calculo de Perdidas Por Temp. y deg.</t>
  </si>
  <si>
    <t>Potencia Inicial</t>
  </si>
  <si>
    <t>Tasa degradación annual</t>
  </si>
  <si>
    <t>Numero de años</t>
  </si>
  <si>
    <t>La Fórmula de Pérdidas de Campo DC</t>
  </si>
  <si>
    <t>Insolación</t>
  </si>
  <si>
    <t>Energia DC entrada Inversor</t>
  </si>
  <si>
    <t>Hora</t>
  </si>
  <si>
    <t>GIRASOL - Inversor 01.1 - Energy DC (kWh)</t>
  </si>
  <si>
    <t>GIRASOL - Inversor 01.2 - Energy DC (kWh)</t>
  </si>
  <si>
    <t>GIRASOL - Inversor 02.1 - Energy DC (kWh)</t>
  </si>
  <si>
    <t>GIRASOL - Inversor 02.2 - Energy DC (kWh)</t>
  </si>
  <si>
    <t>GIRASOL - Inversor 03.1 - Energy DC (kWh)</t>
  </si>
  <si>
    <t>GIRASOL - Inversor 03.2 - Energy DC (kWh)</t>
  </si>
  <si>
    <t>GIRASOL - Inversor 04.1 - Energy DC (kWh)</t>
  </si>
  <si>
    <t>GIRASOL - Inversor 04.2 - Energy DC (kWh)</t>
  </si>
  <si>
    <t>GIRASOL - Inversor 05.1 - Energy DC (kWh)</t>
  </si>
  <si>
    <t>GIRASOL - Inversor 05.2 - Energy DC (kWh)</t>
  </si>
  <si>
    <t>GIRASOL - Inversor 06.1 - Energy DC (kWh)</t>
  </si>
  <si>
    <t>GIRASOL - Inversor 06.2 - Energy DC (kWh)</t>
  </si>
  <si>
    <t>GIRASOL - Inversor 07.1 - Energy DC (kWh)</t>
  </si>
  <si>
    <t>GIRASOL - Inversor 07.2 - Energy DC (kWh)</t>
  </si>
  <si>
    <t>GIRASOL - Inversor 08.1 - Energy DC (kWh)</t>
  </si>
  <si>
    <t>GIRASOL - Inversor 08.2 - Energy DC (kWh)</t>
  </si>
  <si>
    <t>GIRASOL - Inversor 09.1 - Energy DC (kWh)</t>
  </si>
  <si>
    <t>GIRASOL - Inversor 09.2 - Energy DC (kWh)</t>
  </si>
  <si>
    <t>GIRASOL - Inversor 10.1 - Energy DC (kWh)</t>
  </si>
  <si>
    <t>GIRASOL - Inversor 10.2 - Energy DC (kWh)</t>
  </si>
  <si>
    <t>GIRASOL - Inversor 11.1 - Energy DC (kWh)</t>
  </si>
  <si>
    <t>GIRASOL - Inversor 11.2 - Energy DC (kWh)</t>
  </si>
  <si>
    <t>GIRASOL - Inversor 12.1 - Energy DC (kWh)</t>
  </si>
  <si>
    <t>GIRASOL - Inversor 12.2 - Energy DC (kWh)</t>
  </si>
  <si>
    <t>GIRASOL - Inversor 13.1 - Energy DC (kWh)</t>
  </si>
  <si>
    <t>GIRASOL - Inversor 13.2 - Energy DC (kWh)</t>
  </si>
  <si>
    <t>GIRASOL - Inversor 14.1 - Energy DC (kWh)</t>
  </si>
  <si>
    <t>GIRASOL - Inversor 14.2 - Energy DC (kWh)</t>
  </si>
  <si>
    <t>l</t>
  </si>
  <si>
    <t>Rendimiento</t>
  </si>
  <si>
    <t>Teorico sin deg. DC</t>
  </si>
  <si>
    <t>PR DC</t>
  </si>
  <si>
    <t>Perdida DC</t>
  </si>
  <si>
    <t>PR Corrección por Temp y Degradación Acumulada</t>
  </si>
  <si>
    <t>Energia Teorica Mwh (with out Dedrad)</t>
  </si>
  <si>
    <t>Energia (Coef degrad) Temp</t>
  </si>
  <si>
    <t>Energia Teorica Mwh (with Dedrad)</t>
  </si>
  <si>
    <t>Coeficiente de Temperatura</t>
  </si>
  <si>
    <t>Carga Real</t>
  </si>
  <si>
    <t>Carga Estimada (MW)</t>
  </si>
  <si>
    <t>Perdida %</t>
  </si>
  <si>
    <t>Fecha</t>
  </si>
  <si>
    <t>Generacion sin Cultaiment</t>
  </si>
  <si>
    <t>Eficiencia PR %</t>
  </si>
  <si>
    <t>Insolación KWh/m2</t>
  </si>
  <si>
    <t>11 de junio</t>
  </si>
  <si>
    <t>439.20 MW</t>
  </si>
  <si>
    <t>Insolacion</t>
  </si>
  <si>
    <t>Temperatura del Pa</t>
  </si>
  <si>
    <t>Temperatura Panel</t>
  </si>
  <si>
    <t>Potencia Pico Estimada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</si>
</sst>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0.0%"/>
    <numFmt numFmtId="165" formatCode="0.000"/>
    <numFmt numFmtId="166" formatCode="[$-409]d\-mmm;@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rial Unicode MS"/>
      <family val="2"/>
    </font>
    <font>
      <b/>
      <sz val="12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Aptos Narrow"/>
      <family val="2"/>
    </font>
    <font>
      <b/>
      <sz val="10"/>
      <color rgb="FF3B3838"/>
      <name val="Calibri"/>
      <family val="2"/>
    </font>
    <font>
      <sz val="11"/>
      <color theme="1" tint="0.24994659260841701"/>
      <name val="Aptos Narrow"/>
      <family val="2"/>
      <scheme val="minor"/>
    </font>
    <font>
      <b/>
      <sz val="11"/>
      <name val="Aparajita"/>
      <family val="1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82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 wrapText="1"/>
    </xf>
    <xf numFmtId="10" fontId="0" fillId="0" borderId="0" xfId="2" applyNumberFormat="1" applyFont="1"/>
    <xf numFmtId="0" fontId="0" fillId="0" borderId="0" xfId="2" applyNumberFormat="1" applyFont="1"/>
    <xf numFmtId="165" fontId="0" fillId="0" borderId="0" xfId="2" applyNumberFormat="1" applyFont="1"/>
    <xf numFmtId="0" fontId="0" fillId="0" borderId="4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3" xfId="0" applyFont="1" applyBorder="1"/>
    <xf numFmtId="0" fontId="2" fillId="0" borderId="5" xfId="0" applyFont="1" applyBorder="1"/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/>
    <xf numFmtId="0" fontId="3" fillId="2" borderId="2" xfId="0" applyFont="1" applyFill="1" applyBorder="1" applyAlignment="1">
      <alignment wrapText="1"/>
    </xf>
    <xf numFmtId="0" fontId="2" fillId="0" borderId="0" xfId="0" applyFont="1"/>
    <xf numFmtId="2" fontId="0" fillId="0" borderId="8" xfId="0" applyNumberFormat="1" applyBorder="1" applyAlignment="1">
      <alignment horizontal="right" vertical="center"/>
    </xf>
    <xf numFmtId="0" fontId="2" fillId="0" borderId="5" xfId="0" applyFont="1" applyBorder="1" applyAlignment="1">
      <alignment vertical="center" wrapText="1"/>
    </xf>
    <xf numFmtId="165" fontId="0" fillId="0" borderId="0" xfId="0" applyNumberFormat="1"/>
    <xf numFmtId="14" fontId="0" fillId="0" borderId="0" xfId="0" applyNumberFormat="1"/>
    <xf numFmtId="20" fontId="0" fillId="0" borderId="0" xfId="0" applyNumberFormat="1"/>
    <xf numFmtId="43" fontId="0" fillId="0" borderId="0" xfId="1" applyFont="1"/>
    <xf numFmtId="43" fontId="0" fillId="0" borderId="0" xfId="0" applyNumberFormat="1"/>
    <xf numFmtId="0" fontId="2" fillId="0" borderId="7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 wrapText="1"/>
    </xf>
    <xf numFmtId="0" fontId="2" fillId="3" borderId="7" xfId="0" applyFont="1" applyFill="1" applyBorder="1" applyAlignment="1">
      <alignment vertical="center" wrapText="1"/>
    </xf>
    <xf numFmtId="43" fontId="0" fillId="0" borderId="6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0" fontId="0" fillId="0" borderId="4" xfId="2" applyNumberFormat="1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2" fillId="4" borderId="8" xfId="2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2" fontId="0" fillId="0" borderId="4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3" fillId="2" borderId="15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0" fillId="0" borderId="17" xfId="0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4" borderId="0" xfId="0" applyFont="1" applyFill="1"/>
    <xf numFmtId="0" fontId="2" fillId="5" borderId="2" xfId="0" applyFont="1" applyFill="1" applyBorder="1"/>
    <xf numFmtId="165" fontId="0" fillId="5" borderId="0" xfId="2" applyNumberFormat="1" applyFont="1" applyFill="1"/>
    <xf numFmtId="166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2" fontId="0" fillId="0" borderId="1" xfId="0" applyNumberFormat="1" applyBorder="1"/>
    <xf numFmtId="0" fontId="0" fillId="0" borderId="5" xfId="0" applyBorder="1"/>
    <xf numFmtId="0" fontId="2" fillId="0" borderId="6" xfId="0" applyFont="1" applyBorder="1" applyAlignment="1">
      <alignment horizontal="center" vertical="center" wrapText="1"/>
    </xf>
    <xf numFmtId="166" fontId="0" fillId="0" borderId="5" xfId="0" applyNumberFormat="1" applyBorder="1"/>
    <xf numFmtId="164" fontId="2" fillId="6" borderId="6" xfId="2" applyNumberFormat="1" applyFont="1" applyFill="1" applyBorder="1"/>
    <xf numFmtId="43" fontId="0" fillId="0" borderId="1" xfId="1" applyFont="1" applyBorder="1"/>
    <xf numFmtId="0" fontId="9" fillId="0" borderId="0" xfId="0" applyFont="1"/>
    <xf numFmtId="0" fontId="11" fillId="0" borderId="1" xfId="3" applyFont="1" applyBorder="1" applyAlignment="1">
      <alignment horizontal="center" vertical="center" wrapText="1"/>
    </xf>
    <xf numFmtId="0" fontId="0" fillId="5" borderId="0" xfId="0" applyFill="1"/>
    <xf numFmtId="0" fontId="2" fillId="0" borderId="0" xfId="0" applyFont="1" applyAlignment="1">
      <alignment horizontal="center" vertical="center" wrapText="1"/>
    </xf>
    <xf numFmtId="2" fontId="9" fillId="0" borderId="0" xfId="0" applyNumberFormat="1" applyFont="1"/>
    <xf numFmtId="166" fontId="0" fillId="5" borderId="5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164" fontId="2" fillId="5" borderId="6" xfId="2" applyNumberFormat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2" borderId="11" xfId="0" applyFont="1" applyFill="1" applyBorder="1" applyAlignment="1">
      <alignment horizontal="left" vertical="center" wrapText="1"/>
    </xf>
    <xf numFmtId="0" fontId="3" fillId="2" borderId="1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9" xfId="0" applyFont="1" applyFill="1" applyBorder="1" applyAlignment="1">
      <alignment horizontal="left" vertical="center" wrapText="1"/>
    </xf>
    <xf numFmtId="0" fontId="3" fillId="2" borderId="10" xfId="0" applyFont="1" applyFill="1" applyBorder="1" applyAlignment="1">
      <alignment horizontal="left" vertical="center" wrapText="1"/>
    </xf>
    <xf numFmtId="165" fontId="2" fillId="5" borderId="8" xfId="0" applyNumberFormat="1" applyFont="1" applyFill="1" applyBorder="1"/>
    <xf numFmtId="2" fontId="0" fillId="0" borderId="6" xfId="0" applyNumberFormat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37D39B6D-6196-4978-8B05-8B35AF0E75ED}"/>
    <cellStyle name="Percent" xfId="2" builtinId="5"/>
  </cellStyles>
  <dxfs count="0"/>
  <tableStyles count="1" defaultTableStyle="TableStyleMedium2" defaultPivotStyle="PivotStyleLight16">
    <tableStyle name="Invisible" pivot="0" table="0" count="0" xr9:uid="{5BACC8E0-F7B7-4AFE-8ADD-FF2CD97D87C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13</xdr:row>
          <xdr:rowOff>175260</xdr:rowOff>
        </xdr:from>
        <xdr:to>
          <xdr:col>0</xdr:col>
          <xdr:colOff>1394460</xdr:colOff>
          <xdr:row>16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118110</xdr:colOff>
      <xdr:row>29</xdr:row>
      <xdr:rowOff>22860</xdr:rowOff>
    </xdr:from>
    <xdr:to>
      <xdr:col>4</xdr:col>
      <xdr:colOff>683895</xdr:colOff>
      <xdr:row>61</xdr:row>
      <xdr:rowOff>65279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7173F6-11FF-A746-4118-A060B24486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642"/>
        <a:stretch>
          <a:fillRect/>
        </a:stretch>
      </xdr:blipFill>
      <xdr:spPr>
        <a:xfrm>
          <a:off x="118110" y="8854440"/>
          <a:ext cx="5968365" cy="5925059"/>
        </a:xfrm>
        <a:prstGeom prst="rect">
          <a:avLst/>
        </a:prstGeom>
      </xdr:spPr>
    </xdr:pic>
    <xdr:clientData/>
  </xdr:twoCellAnchor>
  <xdr:twoCellAnchor editAs="oneCell">
    <xdr:from>
      <xdr:col>9</xdr:col>
      <xdr:colOff>1129665</xdr:colOff>
      <xdr:row>19</xdr:row>
      <xdr:rowOff>85725</xdr:rowOff>
    </xdr:from>
    <xdr:to>
      <xdr:col>14</xdr:col>
      <xdr:colOff>1149311</xdr:colOff>
      <xdr:row>36</xdr:row>
      <xdr:rowOff>93613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EE4F31-4F6C-2F44-E241-48B8AA7A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16090" y="7038975"/>
          <a:ext cx="6881456" cy="3095893"/>
        </a:xfrm>
        <a:prstGeom prst="rect">
          <a:avLst/>
        </a:prstGeom>
      </xdr:spPr>
    </xdr:pic>
    <xdr:clientData/>
  </xdr:twoCellAnchor>
  <xdr:twoCellAnchor editAs="oneCell">
    <xdr:from>
      <xdr:col>9</xdr:col>
      <xdr:colOff>1162050</xdr:colOff>
      <xdr:row>39</xdr:row>
      <xdr:rowOff>19050</xdr:rowOff>
    </xdr:from>
    <xdr:to>
      <xdr:col>14</xdr:col>
      <xdr:colOff>699688</xdr:colOff>
      <xdr:row>56</xdr:row>
      <xdr:rowOff>265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31F3F13-0223-63AE-3CA4-ACE54C782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48475" y="10620375"/>
          <a:ext cx="6382303" cy="3057790"/>
        </a:xfrm>
        <a:prstGeom prst="rect">
          <a:avLst/>
        </a:prstGeom>
      </xdr:spPr>
    </xdr:pic>
    <xdr:clientData/>
  </xdr:twoCellAnchor>
  <xdr:twoCellAnchor editAs="oneCell">
    <xdr:from>
      <xdr:col>9</xdr:col>
      <xdr:colOff>1097280</xdr:colOff>
      <xdr:row>56</xdr:row>
      <xdr:rowOff>8726</xdr:rowOff>
    </xdr:from>
    <xdr:to>
      <xdr:col>12</xdr:col>
      <xdr:colOff>426720</xdr:colOff>
      <xdr:row>59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84F980-2992-A17E-18D4-9F701820F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26240" y="13808546"/>
          <a:ext cx="3154680" cy="539914"/>
        </a:xfrm>
        <a:prstGeom prst="rect">
          <a:avLst/>
        </a:prstGeom>
      </xdr:spPr>
    </xdr:pic>
    <xdr:clientData/>
  </xdr:twoCellAnchor>
  <xdr:twoCellAnchor editAs="oneCell">
    <xdr:from>
      <xdr:col>10</xdr:col>
      <xdr:colOff>350520</xdr:colOff>
      <xdr:row>60</xdr:row>
      <xdr:rowOff>17592</xdr:rowOff>
    </xdr:from>
    <xdr:to>
      <xdr:col>12</xdr:col>
      <xdr:colOff>817714</xdr:colOff>
      <xdr:row>62</xdr:row>
      <xdr:rowOff>64841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42C093-C101-A106-A5ED-2955DE3AF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60580" y="14548932"/>
          <a:ext cx="2699854" cy="4130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</xdr:colOff>
      <xdr:row>2</xdr:row>
      <xdr:rowOff>0</xdr:rowOff>
    </xdr:from>
    <xdr:to>
      <xdr:col>15</xdr:col>
      <xdr:colOff>222192</xdr:colOff>
      <xdr:row>23</xdr:row>
      <xdr:rowOff>151052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F93524-EB6F-ACC1-AD77-A3E188BF7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" y="365760"/>
          <a:ext cx="8688012" cy="3991532"/>
        </a:xfrm>
        <a:prstGeom prst="rect">
          <a:avLst/>
        </a:prstGeom>
      </xdr:spPr>
    </xdr:pic>
    <xdr:clientData/>
  </xdr:twoCellAnchor>
  <xdr:twoCellAnchor editAs="oneCell">
    <xdr:from>
      <xdr:col>14</xdr:col>
      <xdr:colOff>601980</xdr:colOff>
      <xdr:row>2</xdr:row>
      <xdr:rowOff>137160</xdr:rowOff>
    </xdr:from>
    <xdr:to>
      <xdr:col>29</xdr:col>
      <xdr:colOff>412730</xdr:colOff>
      <xdr:row>23</xdr:row>
      <xdr:rowOff>121920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AE57B8-8B4A-777D-EB65-FFDD62E47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36380" y="502920"/>
          <a:ext cx="8954750" cy="3825240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419100</xdr:colOff>
      <xdr:row>26</xdr:row>
      <xdr:rowOff>91440</xdr:rowOff>
    </xdr:from>
    <xdr:to>
      <xdr:col>15</xdr:col>
      <xdr:colOff>134501</xdr:colOff>
      <xdr:row>51</xdr:row>
      <xdr:rowOff>92078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4071448-2609-D550-5049-665AC1824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4846320"/>
          <a:ext cx="8249801" cy="4572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548640</xdr:colOff>
      <xdr:row>25</xdr:row>
      <xdr:rowOff>60960</xdr:rowOff>
    </xdr:from>
    <xdr:to>
      <xdr:col>29</xdr:col>
      <xdr:colOff>235462</xdr:colOff>
      <xdr:row>43</xdr:row>
      <xdr:rowOff>27125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4E2D83-574E-FC4F-6D4A-914F5E69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92640" y="4632960"/>
          <a:ext cx="8221222" cy="32580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0603-F494-47C2-84B3-E54AECA92B54}">
  <sheetPr codeName="Sheet1"/>
  <dimension ref="A1:R39"/>
  <sheetViews>
    <sheetView tabSelected="1" topLeftCell="A26" workbookViewId="0">
      <selection activeCell="B8" sqref="B8"/>
    </sheetView>
  </sheetViews>
  <sheetFormatPr defaultRowHeight="14.4" x14ac:dyDescent="0.3"/>
  <cols>
    <col min="1" max="1" width="22.88671875" style="36" customWidth="1"/>
    <col min="2" max="2" width="13.88671875" bestFit="1" customWidth="1"/>
    <col min="4" max="4" width="33.109375" customWidth="1"/>
    <col min="5" max="5" width="16.6640625" bestFit="1" customWidth="1"/>
    <col min="6" max="6" width="11.5546875" customWidth="1"/>
    <col min="7" max="7" width="33.88671875" customWidth="1"/>
    <col min="8" max="8" width="12.5546875" bestFit="1" customWidth="1"/>
    <col min="9" max="9" width="12.88671875" customWidth="1"/>
    <col min="10" max="10" width="23.21875" customWidth="1"/>
    <col min="11" max="11" width="20.5546875" customWidth="1"/>
    <col min="12" max="12" width="12" bestFit="1" customWidth="1"/>
    <col min="13" max="13" width="22.44140625" customWidth="1"/>
    <col min="14" max="14" width="21.33203125" customWidth="1"/>
    <col min="15" max="15" width="21.109375" customWidth="1"/>
    <col min="16" max="16" width="14.33203125" customWidth="1"/>
    <col min="17" max="17" width="13.33203125" customWidth="1"/>
    <col min="18" max="18" width="7.6640625" bestFit="1" customWidth="1"/>
    <col min="19" max="19" width="11.77734375" bestFit="1" customWidth="1"/>
  </cols>
  <sheetData>
    <row r="1" spans="1:18" ht="16.2" thickBot="1" x14ac:dyDescent="0.35">
      <c r="A1" s="40" t="s">
        <v>6</v>
      </c>
      <c r="B1" s="25">
        <v>674000</v>
      </c>
      <c r="D1" s="68" t="s">
        <v>14</v>
      </c>
      <c r="E1" s="69"/>
      <c r="F1" s="19"/>
      <c r="G1" s="68" t="s">
        <v>14</v>
      </c>
      <c r="H1" s="69"/>
      <c r="I1" s="19"/>
      <c r="J1" s="68" t="s">
        <v>15</v>
      </c>
      <c r="K1" s="69"/>
      <c r="L1" s="19"/>
      <c r="M1" s="68" t="s">
        <v>23</v>
      </c>
      <c r="N1" s="69"/>
      <c r="P1" s="72" t="s">
        <v>27</v>
      </c>
      <c r="Q1" s="72"/>
    </row>
    <row r="2" spans="1:18" ht="31.8" thickBot="1" x14ac:dyDescent="0.35">
      <c r="A2" s="40" t="s">
        <v>0</v>
      </c>
      <c r="B2">
        <v>120</v>
      </c>
      <c r="D2" s="13" t="s">
        <v>67</v>
      </c>
      <c r="E2" s="39">
        <f>K5*B3</f>
        <v>987.73193716183505</v>
      </c>
      <c r="G2" s="13" t="s">
        <v>65</v>
      </c>
      <c r="H2" s="9">
        <f>B3*B2</f>
        <v>1012.8</v>
      </c>
      <c r="I2">
        <v>0.78</v>
      </c>
      <c r="J2" s="11" t="s">
        <v>24</v>
      </c>
      <c r="K2" s="7">
        <f>B2</f>
        <v>120</v>
      </c>
      <c r="M2" s="13" t="s">
        <v>22</v>
      </c>
      <c r="N2" s="6">
        <f>B2*B3</f>
        <v>1012.8</v>
      </c>
      <c r="P2" s="1" t="s">
        <v>28</v>
      </c>
      <c r="Q2">
        <f>B3</f>
        <v>8.44</v>
      </c>
    </row>
    <row r="3" spans="1:18" ht="47.4" thickBot="1" x14ac:dyDescent="0.35">
      <c r="A3" s="40" t="s">
        <v>7</v>
      </c>
      <c r="B3">
        <v>8.44</v>
      </c>
      <c r="D3" s="14" t="s">
        <v>11</v>
      </c>
      <c r="E3" s="10">
        <f>B7-B8</f>
        <v>20</v>
      </c>
      <c r="F3" s="3"/>
      <c r="G3" s="45" t="s">
        <v>11</v>
      </c>
      <c r="H3" s="10">
        <f>B7-B8</f>
        <v>20</v>
      </c>
      <c r="I3" s="9">
        <f>H2*I2</f>
        <v>789.98400000000004</v>
      </c>
      <c r="J3" s="21" t="s">
        <v>25</v>
      </c>
      <c r="K3" s="7">
        <v>5.0000000000000001E-3</v>
      </c>
      <c r="M3" s="27" t="s">
        <v>17</v>
      </c>
      <c r="N3" s="20">
        <f>(N2*E6)-(B1/1000)</f>
        <v>69.124439252813431</v>
      </c>
      <c r="P3" s="1" t="s">
        <v>29</v>
      </c>
      <c r="Q3" s="26">
        <f>Sheet1!B32</f>
        <v>598.22259292999991</v>
      </c>
      <c r="R3" s="26">
        <f>(B1/1000)</f>
        <v>674</v>
      </c>
    </row>
    <row r="4" spans="1:18" ht="31.8" thickBot="1" x14ac:dyDescent="0.35">
      <c r="A4" s="2" t="s">
        <v>8</v>
      </c>
      <c r="B4" s="47">
        <v>0</v>
      </c>
      <c r="D4" s="14" t="s">
        <v>12</v>
      </c>
      <c r="E4" s="10">
        <f>(1+(E3*B6))</f>
        <v>0.92999999999999994</v>
      </c>
      <c r="F4" s="3"/>
      <c r="G4" s="48" t="s">
        <v>68</v>
      </c>
      <c r="H4" s="44">
        <f>(1+(H3*B6))</f>
        <v>0.92999999999999994</v>
      </c>
      <c r="I4" s="3"/>
      <c r="J4" s="11" t="s">
        <v>26</v>
      </c>
      <c r="K4" s="7">
        <v>5</v>
      </c>
      <c r="P4" s="1" t="s">
        <v>16</v>
      </c>
      <c r="Q4" s="22">
        <f>K5</f>
        <v>117.02985037462501</v>
      </c>
    </row>
    <row r="5" spans="1:18" ht="31.8" thickBot="1" x14ac:dyDescent="0.35">
      <c r="A5" s="40" t="s">
        <v>1</v>
      </c>
      <c r="B5" s="47">
        <v>0</v>
      </c>
      <c r="D5" s="14" t="s">
        <v>13</v>
      </c>
      <c r="E5" s="81">
        <f>E2*E4</f>
        <v>918.59070156050655</v>
      </c>
      <c r="G5" s="46" t="s">
        <v>66</v>
      </c>
      <c r="H5" s="10">
        <f>H2*H4</f>
        <v>941.90399999999988</v>
      </c>
      <c r="J5" s="12" t="s">
        <v>81</v>
      </c>
      <c r="K5" s="80">
        <f>K2*(1-K3)^K4</f>
        <v>117.02985037462501</v>
      </c>
    </row>
    <row r="6" spans="1:18" ht="65.400000000000006" thickBot="1" x14ac:dyDescent="0.4">
      <c r="A6" s="40" t="s">
        <v>3</v>
      </c>
      <c r="B6" s="3">
        <v>-3.5000000000000001E-3</v>
      </c>
      <c r="D6" s="38" t="s">
        <v>64</v>
      </c>
      <c r="E6" s="37">
        <f>(B1/1000)/E5</f>
        <v>0.7337326611895868</v>
      </c>
      <c r="G6" s="38" t="s">
        <v>64</v>
      </c>
      <c r="H6" s="37">
        <f>(B1/1000)/H5</f>
        <v>0.7155718629499398</v>
      </c>
      <c r="J6" s="76" t="s">
        <v>21</v>
      </c>
      <c r="K6" s="76"/>
      <c r="O6" s="28" t="s">
        <v>62</v>
      </c>
      <c r="P6" s="33">
        <f>Q3/E2</f>
        <v>0.60565277928436978</v>
      </c>
      <c r="Q6" s="26"/>
    </row>
    <row r="7" spans="1:18" ht="31.2" x14ac:dyDescent="0.3">
      <c r="A7" s="40" t="s">
        <v>2</v>
      </c>
      <c r="B7" s="47">
        <v>45</v>
      </c>
      <c r="D7" s="70" t="s">
        <v>20</v>
      </c>
      <c r="E7" s="71"/>
      <c r="G7" s="70" t="s">
        <v>20</v>
      </c>
      <c r="H7" s="71"/>
      <c r="J7" s="77"/>
      <c r="K7" s="77"/>
      <c r="O7" s="29" t="s">
        <v>63</v>
      </c>
      <c r="P7" s="31">
        <f>(P6*P8)-Q3</f>
        <v>15.182541929209833</v>
      </c>
    </row>
    <row r="8" spans="1:18" ht="33" thickBot="1" x14ac:dyDescent="0.4">
      <c r="A8" s="40" t="s">
        <v>4</v>
      </c>
      <c r="B8">
        <v>25</v>
      </c>
      <c r="E8">
        <f>(B2*0.78)*B3</f>
        <v>789.98400000000004</v>
      </c>
      <c r="K8" s="15"/>
      <c r="O8" s="29" t="s">
        <v>61</v>
      </c>
      <c r="P8" s="8">
        <f>B2*B3</f>
        <v>1012.8</v>
      </c>
    </row>
    <row r="9" spans="1:18" ht="64.2" thickBot="1" x14ac:dyDescent="0.4">
      <c r="A9" s="40" t="s">
        <v>5</v>
      </c>
      <c r="B9" s="4">
        <v>100</v>
      </c>
      <c r="J9" s="16" t="s">
        <v>18</v>
      </c>
      <c r="K9" s="17"/>
      <c r="O9" s="30" t="s">
        <v>29</v>
      </c>
      <c r="P9" s="32">
        <f>Q3</f>
        <v>598.22259292999991</v>
      </c>
    </row>
    <row r="10" spans="1:18" ht="32.4" customHeight="1" thickBot="1" x14ac:dyDescent="0.35">
      <c r="A10" s="40"/>
      <c r="O10" s="30" t="s">
        <v>60</v>
      </c>
      <c r="P10" s="34">
        <f>R3/Q3</f>
        <v>1.1266709214355384</v>
      </c>
    </row>
    <row r="11" spans="1:18" ht="31.2" x14ac:dyDescent="0.3">
      <c r="A11" s="41" t="s">
        <v>10</v>
      </c>
      <c r="B11" s="5">
        <v>71.706719422570558</v>
      </c>
      <c r="C11" s="73" t="s">
        <v>73</v>
      </c>
      <c r="D11" s="74"/>
      <c r="E11" s="74"/>
      <c r="F11" s="75"/>
      <c r="J11" s="25"/>
    </row>
    <row r="12" spans="1:18" ht="31.2" x14ac:dyDescent="0.3">
      <c r="A12" s="41" t="s">
        <v>9</v>
      </c>
      <c r="B12" s="49">
        <v>71.706719422570558</v>
      </c>
      <c r="C12" s="54" t="s">
        <v>72</v>
      </c>
      <c r="D12" s="51" t="s">
        <v>70</v>
      </c>
      <c r="E12" s="51" t="s">
        <v>69</v>
      </c>
      <c r="F12" s="55" t="s">
        <v>71</v>
      </c>
      <c r="G12" s="60" t="s">
        <v>75</v>
      </c>
      <c r="H12" s="59" t="s">
        <v>74</v>
      </c>
      <c r="I12" s="62" t="s">
        <v>80</v>
      </c>
      <c r="J12" s="25"/>
      <c r="K12" s="26"/>
      <c r="N12">
        <v>27.015999999999998</v>
      </c>
      <c r="O12">
        <f>N12*P10</f>
        <v>30.438141613502502</v>
      </c>
    </row>
    <row r="13" spans="1:18" ht="15.6" x14ac:dyDescent="0.3">
      <c r="A13" s="42" t="s">
        <v>19</v>
      </c>
      <c r="C13" s="56">
        <v>46202</v>
      </c>
      <c r="D13" s="53">
        <v>834.73157767579983</v>
      </c>
      <c r="E13" s="53">
        <v>770.09557800999994</v>
      </c>
      <c r="F13" s="57">
        <f>1-(E13/D13)</f>
        <v>7.743327483281548E-2</v>
      </c>
      <c r="G13" s="59">
        <v>9.19</v>
      </c>
      <c r="H13" s="63">
        <v>70.94</v>
      </c>
      <c r="I13">
        <v>47.24</v>
      </c>
      <c r="J13" s="25"/>
      <c r="O13" s="35">
        <f>O12+N3</f>
        <v>99.562580866315926</v>
      </c>
    </row>
    <row r="14" spans="1:18" x14ac:dyDescent="0.3">
      <c r="C14" s="56">
        <v>46203</v>
      </c>
      <c r="D14" s="53">
        <v>751.26035636914776</v>
      </c>
      <c r="E14" s="53">
        <v>686.51436374000002</v>
      </c>
      <c r="F14" s="57">
        <f>1-(E14/D14)</f>
        <v>8.6183161510166806E-2</v>
      </c>
      <c r="G14">
        <v>8.17</v>
      </c>
      <c r="H14" s="35">
        <v>71.17</v>
      </c>
      <c r="I14">
        <v>44.72</v>
      </c>
    </row>
    <row r="15" spans="1:18" x14ac:dyDescent="0.3">
      <c r="C15" s="56">
        <v>46204</v>
      </c>
      <c r="D15" s="53">
        <v>611.29273193394761</v>
      </c>
      <c r="E15" s="53">
        <v>555.2251514300001</v>
      </c>
      <c r="F15" s="57">
        <f>1-(E15/D15)</f>
        <v>9.1719691033404604E-2</v>
      </c>
      <c r="G15">
        <v>6.63</v>
      </c>
      <c r="H15" s="35">
        <v>70.83</v>
      </c>
      <c r="I15">
        <v>41.83</v>
      </c>
      <c r="J15" s="26"/>
    </row>
    <row r="16" spans="1:18" x14ac:dyDescent="0.3">
      <c r="C16" s="64">
        <v>46205</v>
      </c>
      <c r="D16" s="65">
        <v>637.49</v>
      </c>
      <c r="E16" s="66">
        <v>594.24</v>
      </c>
      <c r="F16" s="67">
        <f>1-(E16/D16)</f>
        <v>6.784420147767023E-2</v>
      </c>
      <c r="G16" s="61">
        <v>6.91</v>
      </c>
      <c r="H16" s="61">
        <v>72.78</v>
      </c>
      <c r="I16" s="61">
        <v>41.92</v>
      </c>
    </row>
    <row r="17" spans="1:11" x14ac:dyDescent="0.3">
      <c r="C17" s="56">
        <v>46206</v>
      </c>
      <c r="D17" s="52">
        <v>730.47</v>
      </c>
      <c r="E17" s="53">
        <v>674.52</v>
      </c>
      <c r="F17" s="57">
        <f t="shared" ref="F17:F18" si="0">1-(E17/D17)</f>
        <v>7.6594521335578536E-2</v>
      </c>
      <c r="G17">
        <v>7.96</v>
      </c>
      <c r="H17">
        <v>70.680000000000007</v>
      </c>
      <c r="I17">
        <v>44.1</v>
      </c>
    </row>
    <row r="18" spans="1:11" ht="15" thickBot="1" x14ac:dyDescent="0.35">
      <c r="C18" s="50"/>
      <c r="D18" s="58">
        <f>SUM(D13:D17)</f>
        <v>3565.2446659788957</v>
      </c>
      <c r="E18" s="58">
        <f>SUM(E13:E17)</f>
        <v>3280.5950931800003</v>
      </c>
      <c r="F18" s="57">
        <f t="shared" si="0"/>
        <v>7.9840123039842004E-2</v>
      </c>
    </row>
    <row r="19" spans="1:11" ht="16.2" thickBot="1" x14ac:dyDescent="0.35">
      <c r="A19" s="43" t="s">
        <v>19</v>
      </c>
      <c r="C19" s="50"/>
      <c r="D19" s="50"/>
      <c r="E19" s="50"/>
      <c r="F19" s="50"/>
      <c r="K19" s="18" t="s">
        <v>20</v>
      </c>
    </row>
    <row r="20" spans="1:11" x14ac:dyDescent="0.3">
      <c r="C20" s="50"/>
      <c r="D20" s="50"/>
      <c r="E20" s="53">
        <f>D16-E16</f>
        <v>43.25</v>
      </c>
      <c r="F20" s="50"/>
    </row>
    <row r="22" spans="1:11" x14ac:dyDescent="0.3">
      <c r="E22" s="61" t="s">
        <v>76</v>
      </c>
      <c r="F22" s="61" t="s">
        <v>77</v>
      </c>
    </row>
    <row r="23" spans="1:11" x14ac:dyDescent="0.3">
      <c r="E23" s="61" t="s">
        <v>78</v>
      </c>
      <c r="F23" s="61">
        <v>5.07</v>
      </c>
    </row>
    <row r="24" spans="1:11" x14ac:dyDescent="0.3">
      <c r="E24" s="61" t="s">
        <v>79</v>
      </c>
      <c r="F24" s="61">
        <v>35.57</v>
      </c>
    </row>
    <row r="38" spans="11:12" ht="15" thickBot="1" x14ac:dyDescent="0.35"/>
    <row r="39" spans="11:12" ht="16.2" thickBot="1" x14ac:dyDescent="0.35">
      <c r="K39" s="78" t="s">
        <v>21</v>
      </c>
      <c r="L39" s="79"/>
    </row>
  </sheetData>
  <mergeCells count="10">
    <mergeCell ref="K39:L39"/>
    <mergeCell ref="M1:N1"/>
    <mergeCell ref="G1:H1"/>
    <mergeCell ref="G7:H7"/>
    <mergeCell ref="P1:Q1"/>
    <mergeCell ref="C11:F11"/>
    <mergeCell ref="D1:E1"/>
    <mergeCell ref="J1:K1"/>
    <mergeCell ref="D7:E7"/>
    <mergeCell ref="J6:K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PR">
                <anchor moveWithCells="1" sizeWithCells="1">
                  <from>
                    <xdr:col>0</xdr:col>
                    <xdr:colOff>15240</xdr:colOff>
                    <xdr:row>13</xdr:row>
                    <xdr:rowOff>175260</xdr:rowOff>
                  </from>
                  <to>
                    <xdr:col>0</xdr:col>
                    <xdr:colOff>1394460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3311-5F47-4C12-BC26-63E11B0F02B7}">
  <sheetPr codeName="Sheet3"/>
  <dimension ref="A1"/>
  <sheetViews>
    <sheetView showGridLines="0" view="pageBreakPreview" topLeftCell="A34" zoomScale="80" zoomScaleNormal="90" zoomScaleSheetLayoutView="80" workbookViewId="0">
      <selection activeCell="K26" sqref="K26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194D-CEC8-40CC-85E4-1CC4629CF1F9}">
  <sheetPr codeName="Sheet2"/>
  <dimension ref="A1:E32"/>
  <sheetViews>
    <sheetView workbookViewId="0">
      <selection activeCell="K14" sqref="K14"/>
    </sheetView>
  </sheetViews>
  <sheetFormatPr defaultRowHeight="14.4" x14ac:dyDescent="0.3"/>
  <cols>
    <col min="1" max="1" width="35" bestFit="1" customWidth="1"/>
    <col min="2" max="2" width="11.21875" bestFit="1" customWidth="1"/>
  </cols>
  <sheetData>
    <row r="1" spans="1:5" x14ac:dyDescent="0.3">
      <c r="A1" t="s">
        <v>59</v>
      </c>
      <c r="B1" s="23">
        <v>46058</v>
      </c>
    </row>
    <row r="2" spans="1:5" x14ac:dyDescent="0.3">
      <c r="A2" t="s">
        <v>30</v>
      </c>
      <c r="B2" s="24">
        <v>0</v>
      </c>
    </row>
    <row r="3" spans="1:5" x14ac:dyDescent="0.3">
      <c r="A3" t="s">
        <v>31</v>
      </c>
      <c r="B3" s="25">
        <v>22892.988079999999</v>
      </c>
      <c r="D3" s="23"/>
      <c r="E3" s="24"/>
    </row>
    <row r="4" spans="1:5" x14ac:dyDescent="0.3">
      <c r="A4" t="s">
        <v>32</v>
      </c>
      <c r="B4" s="25">
        <v>22454.116330000001</v>
      </c>
    </row>
    <row r="5" spans="1:5" x14ac:dyDescent="0.3">
      <c r="A5" t="s">
        <v>33</v>
      </c>
      <c r="B5" s="25">
        <v>22035.923169999998</v>
      </c>
    </row>
    <row r="6" spans="1:5" x14ac:dyDescent="0.3">
      <c r="A6" t="s">
        <v>34</v>
      </c>
      <c r="B6" s="25">
        <v>21505.798500000001</v>
      </c>
    </row>
    <row r="7" spans="1:5" x14ac:dyDescent="0.3">
      <c r="A7" t="s">
        <v>35</v>
      </c>
      <c r="B7" s="25">
        <v>20600.347669999999</v>
      </c>
    </row>
    <row r="8" spans="1:5" x14ac:dyDescent="0.3">
      <c r="A8" t="s">
        <v>36</v>
      </c>
      <c r="B8" s="25">
        <v>22887.260920000001</v>
      </c>
    </row>
    <row r="9" spans="1:5" x14ac:dyDescent="0.3">
      <c r="A9" t="s">
        <v>37</v>
      </c>
      <c r="B9" s="25">
        <v>20144.44425</v>
      </c>
    </row>
    <row r="10" spans="1:5" x14ac:dyDescent="0.3">
      <c r="A10" t="s">
        <v>38</v>
      </c>
      <c r="B10" s="25">
        <v>16108.41275</v>
      </c>
    </row>
    <row r="11" spans="1:5" x14ac:dyDescent="0.3">
      <c r="A11" t="s">
        <v>39</v>
      </c>
      <c r="B11" s="25">
        <v>21926.302749999999</v>
      </c>
    </row>
    <row r="12" spans="1:5" x14ac:dyDescent="0.3">
      <c r="A12" t="s">
        <v>40</v>
      </c>
      <c r="B12" s="25">
        <v>22432.17425</v>
      </c>
    </row>
    <row r="13" spans="1:5" x14ac:dyDescent="0.3">
      <c r="A13" t="s">
        <v>41</v>
      </c>
      <c r="B13" s="25">
        <v>22423.467919999999</v>
      </c>
    </row>
    <row r="14" spans="1:5" x14ac:dyDescent="0.3">
      <c r="A14" t="s">
        <v>42</v>
      </c>
      <c r="B14" s="25">
        <v>22629.195250000001</v>
      </c>
    </row>
    <row r="15" spans="1:5" x14ac:dyDescent="0.3">
      <c r="A15" t="s">
        <v>43</v>
      </c>
      <c r="B15" s="25">
        <v>17011.07317</v>
      </c>
    </row>
    <row r="16" spans="1:5" x14ac:dyDescent="0.3">
      <c r="A16" t="s">
        <v>44</v>
      </c>
      <c r="B16" s="25">
        <v>21301.440419999999</v>
      </c>
    </row>
    <row r="17" spans="1:2" x14ac:dyDescent="0.3">
      <c r="A17" t="s">
        <v>45</v>
      </c>
      <c r="B17" s="25">
        <v>21204.615669999999</v>
      </c>
    </row>
    <row r="18" spans="1:2" x14ac:dyDescent="0.3">
      <c r="A18" t="s">
        <v>46</v>
      </c>
      <c r="B18" s="25">
        <v>20566.529500000001</v>
      </c>
    </row>
    <row r="19" spans="1:2" x14ac:dyDescent="0.3">
      <c r="A19" t="s">
        <v>47</v>
      </c>
      <c r="B19" s="25">
        <v>21441.998</v>
      </c>
    </row>
    <row r="20" spans="1:2" x14ac:dyDescent="0.3">
      <c r="A20" t="s">
        <v>48</v>
      </c>
      <c r="B20" s="25">
        <v>22389.67267</v>
      </c>
    </row>
    <row r="21" spans="1:2" x14ac:dyDescent="0.3">
      <c r="A21" t="s">
        <v>49</v>
      </c>
      <c r="B21" s="25">
        <v>20770.246999999999</v>
      </c>
    </row>
    <row r="22" spans="1:2" x14ac:dyDescent="0.3">
      <c r="A22" t="s">
        <v>50</v>
      </c>
      <c r="B22" s="25">
        <v>20689.890500000001</v>
      </c>
    </row>
    <row r="23" spans="1:2" x14ac:dyDescent="0.3">
      <c r="A23" t="s">
        <v>51</v>
      </c>
      <c r="B23" s="25">
        <v>20649.29808</v>
      </c>
    </row>
    <row r="24" spans="1:2" x14ac:dyDescent="0.3">
      <c r="A24" t="s">
        <v>52</v>
      </c>
      <c r="B24" s="25">
        <v>19532.428</v>
      </c>
    </row>
    <row r="25" spans="1:2" x14ac:dyDescent="0.3">
      <c r="A25" t="s">
        <v>53</v>
      </c>
      <c r="B25" s="25">
        <v>22582.736000000001</v>
      </c>
    </row>
    <row r="26" spans="1:2" x14ac:dyDescent="0.3">
      <c r="A26" t="s">
        <v>54</v>
      </c>
      <c r="B26" s="25">
        <v>22231.119170000002</v>
      </c>
    </row>
    <row r="27" spans="1:2" x14ac:dyDescent="0.3">
      <c r="A27" t="s">
        <v>55</v>
      </c>
      <c r="B27" s="25">
        <v>22693.517749999999</v>
      </c>
    </row>
    <row r="28" spans="1:2" x14ac:dyDescent="0.3">
      <c r="A28" t="s">
        <v>56</v>
      </c>
      <c r="B28" s="25">
        <v>22522.352330000002</v>
      </c>
    </row>
    <row r="29" spans="1:2" x14ac:dyDescent="0.3">
      <c r="A29" t="s">
        <v>57</v>
      </c>
      <c r="B29" s="25">
        <v>22197.737580000001</v>
      </c>
    </row>
    <row r="30" spans="1:2" x14ac:dyDescent="0.3">
      <c r="A30" t="s">
        <v>58</v>
      </c>
      <c r="B30" s="25">
        <v>22397.505249999998</v>
      </c>
    </row>
    <row r="32" spans="1:2" x14ac:dyDescent="0.3">
      <c r="B32" s="26">
        <f>SUM(B3:B30)/1000</f>
        <v>598.22259292999991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7569c-45fa-4c65-81af-5a5fe9abc108}" enabled="0" method="" siteId="{1e07569c-45fa-4c65-81af-5a5fe9abc1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Calculos PR - Corregido</vt:lpstr>
      <vt:lpstr>Paso a paso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Johanna Pamela Lluberes Ramirez</dc:creator>
  <cp:lastModifiedBy>Juán Carlos Roa</cp:lastModifiedBy>
  <dcterms:created xsi:type="dcterms:W3CDTF">2026-06-02T14:06:01Z</dcterms:created>
  <dcterms:modified xsi:type="dcterms:W3CDTF">2026-07-21T20:06:35Z</dcterms:modified>
</cp:coreProperties>
</file>